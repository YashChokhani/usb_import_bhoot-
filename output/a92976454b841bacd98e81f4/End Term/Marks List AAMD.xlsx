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BITs Courses Content\AAMS 2025\"/>
    </mc:Choice>
  </mc:AlternateContent>
  <bookViews>
    <workbookView xWindow="0" yWindow="0" windowWidth="0" windowHeight="0" activeTab="1"/>
  </bookViews>
  <sheets>
    <sheet name="ps (18)" sheetId="1" r:id="rId1"/>
    <sheet name="Sheet1" sheetId="2" r:id="rId2"/>
  </sheets>
  <calcPr calcId="162913"/>
</workbook>
</file>

<file path=xl/calcChain.xml><?xml version="1.0" encoding="utf-8"?>
<calcChain xmlns="http://schemas.openxmlformats.org/spreadsheetml/2006/main">
  <c r="AC3" i="2" l="1"/>
  <c r="AC4" i="2"/>
  <c r="AC6" i="2"/>
  <c r="AC7" i="2"/>
  <c r="AC9" i="2"/>
  <c r="AC10" i="2"/>
  <c r="AC12" i="2"/>
  <c r="AC13" i="2"/>
  <c r="AC14" i="2"/>
  <c r="AC2" i="2"/>
  <c r="AB3" i="2"/>
  <c r="AB4" i="2"/>
  <c r="AB5" i="2"/>
  <c r="AC5" i="2" s="1"/>
  <c r="AB6" i="2"/>
  <c r="AB7" i="2"/>
  <c r="AB8" i="2"/>
  <c r="AC8" i="2" s="1"/>
  <c r="AB9" i="2"/>
  <c r="AB10" i="2"/>
  <c r="AB11" i="2"/>
  <c r="AB12" i="2"/>
  <c r="AB13" i="2"/>
  <c r="AB14" i="2"/>
  <c r="AB2" i="2"/>
  <c r="Y3" i="2" l="1"/>
  <c r="Y4" i="2"/>
  <c r="Y5" i="2"/>
  <c r="Y6" i="2"/>
  <c r="Y7" i="2"/>
  <c r="Y8" i="2"/>
  <c r="Y9" i="2"/>
  <c r="Y10" i="2"/>
  <c r="Y11" i="2"/>
  <c r="AC11" i="2" s="1"/>
  <c r="Y12" i="2"/>
  <c r="Y13" i="2"/>
  <c r="Y14" i="2"/>
  <c r="Y2" i="2"/>
  <c r="X3" i="2"/>
  <c r="X4" i="2"/>
  <c r="X6" i="2"/>
  <c r="X7" i="2"/>
  <c r="X8" i="2"/>
  <c r="X9" i="2"/>
  <c r="X10" i="2"/>
  <c r="X11" i="2"/>
  <c r="X12" i="2"/>
  <c r="X13" i="2"/>
  <c r="X14" i="2"/>
  <c r="X2" i="2"/>
  <c r="V14" i="2"/>
  <c r="U14" i="2"/>
  <c r="T14" i="2"/>
  <c r="V13" i="2"/>
  <c r="U13" i="2"/>
  <c r="T13" i="2"/>
  <c r="V12" i="2"/>
  <c r="U12" i="2"/>
  <c r="T12" i="2"/>
  <c r="V11" i="2"/>
  <c r="U11" i="2"/>
  <c r="T11" i="2"/>
  <c r="V10" i="2"/>
  <c r="T10" i="2"/>
  <c r="V9" i="2"/>
  <c r="U9" i="2"/>
  <c r="T9" i="2"/>
  <c r="V8" i="2"/>
  <c r="T8" i="2"/>
  <c r="V7" i="2"/>
  <c r="U7" i="2"/>
  <c r="T7" i="2"/>
  <c r="V6" i="2"/>
  <c r="U6" i="2"/>
  <c r="T6" i="2"/>
  <c r="V5" i="2"/>
  <c r="U5" i="2"/>
  <c r="T5" i="2"/>
  <c r="V4" i="2"/>
  <c r="T4" i="2"/>
  <c r="V3" i="2"/>
  <c r="U3" i="2"/>
  <c r="T3" i="2"/>
  <c r="U2" i="2"/>
  <c r="T2" i="2"/>
  <c r="W14" i="2" l="1"/>
  <c r="W11" i="2"/>
  <c r="W7" i="2"/>
  <c r="W4" i="2"/>
  <c r="W3" i="2"/>
  <c r="W8" i="2"/>
  <c r="W12" i="2"/>
  <c r="W5" i="2"/>
  <c r="W9" i="2"/>
  <c r="W13" i="2"/>
  <c r="W10" i="2"/>
  <c r="W6" i="2"/>
  <c r="W2" i="2"/>
  <c r="X3" i="1"/>
  <c r="X4" i="1"/>
  <c r="X5" i="1"/>
  <c r="X6" i="1"/>
  <c r="X7" i="1"/>
  <c r="Y7" i="1" s="1"/>
  <c r="Y8" i="1"/>
  <c r="X9" i="1"/>
  <c r="X10" i="1"/>
  <c r="X11" i="1"/>
  <c r="X12" i="1"/>
  <c r="X13" i="1"/>
  <c r="Y13" i="1" s="1"/>
  <c r="X14" i="1"/>
  <c r="Y14" i="1" s="1"/>
  <c r="X15" i="1"/>
  <c r="Y2" i="1"/>
  <c r="Y3" i="1"/>
  <c r="Y4" i="1"/>
  <c r="Y5" i="1"/>
  <c r="Y6" i="1"/>
  <c r="Y9" i="1"/>
  <c r="Y10" i="1"/>
  <c r="Y11" i="1"/>
  <c r="Y12" i="1"/>
  <c r="Y15" i="1"/>
  <c r="W3" i="1"/>
  <c r="W5" i="1"/>
  <c r="W6" i="1"/>
  <c r="W7" i="1"/>
  <c r="W10" i="1"/>
  <c r="W12" i="1"/>
  <c r="W13" i="1"/>
  <c r="W14" i="1"/>
  <c r="W15" i="1"/>
  <c r="W2" i="1"/>
  <c r="V3" i="1"/>
  <c r="V4" i="1"/>
  <c r="V5" i="1"/>
  <c r="V6" i="1"/>
  <c r="V7" i="1"/>
  <c r="V9" i="1"/>
  <c r="V10" i="1"/>
  <c r="V11" i="1"/>
  <c r="V12" i="1"/>
  <c r="V13" i="1"/>
  <c r="V14" i="1"/>
  <c r="V15" i="1"/>
  <c r="V2" i="1"/>
</calcChain>
</file>

<file path=xl/sharedStrings.xml><?xml version="1.0" encoding="utf-8"?>
<sst xmlns="http://schemas.openxmlformats.org/spreadsheetml/2006/main" count="227" uniqueCount="83">
  <si>
    <t>Notify</t>
  </si>
  <si>
    <t>ID</t>
  </si>
  <si>
    <t>ID Number</t>
  </si>
  <si>
    <t>Name</t>
  </si>
  <si>
    <t>Grade Basis</t>
  </si>
  <si>
    <t>Units</t>
  </si>
  <si>
    <t>Level</t>
  </si>
  <si>
    <t>Y</t>
  </si>
  <si>
    <t>2024H1230166P</t>
  </si>
  <si>
    <t>Crs Grad</t>
  </si>
  <si>
    <t>Yr 2 Sem 1</t>
  </si>
  <si>
    <t>2024H1230164P</t>
  </si>
  <si>
    <t>2024H1230172P</t>
  </si>
  <si>
    <t>2022AAPS0025P</t>
  </si>
  <si>
    <t>Yr 4 Sem 1</t>
  </si>
  <si>
    <t>2024H1230157P</t>
  </si>
  <si>
    <t>2024H1230171P</t>
  </si>
  <si>
    <t>2022A3PS1216P</t>
  </si>
  <si>
    <t>2024H1230165P</t>
  </si>
  <si>
    <t>2023A8PS1287P</t>
  </si>
  <si>
    <t>Yr 3 Sem 1</t>
  </si>
  <si>
    <t>2024H1230167P</t>
  </si>
  <si>
    <t>2024H1230174P</t>
  </si>
  <si>
    <t>2024H1230162P</t>
  </si>
  <si>
    <t>2024H1230175P</t>
  </si>
  <si>
    <t>2024H1230308P</t>
  </si>
  <si>
    <t>NISCHAY,MAMIDIPALLI LAKSHMI SRI</t>
  </si>
  <si>
    <t>Quiz3</t>
  </si>
  <si>
    <t>Quiz 4</t>
  </si>
  <si>
    <t>Quiz 5</t>
  </si>
  <si>
    <t>Midtem</t>
  </si>
  <si>
    <t>End Term</t>
  </si>
  <si>
    <t>End Project</t>
  </si>
  <si>
    <t>AMAN SINGH NEGI</t>
  </si>
  <si>
    <t>GARVIT GUPTA</t>
  </si>
  <si>
    <t>GOURAV KHANDELWAL</t>
  </si>
  <si>
    <t>HARSHITH REDDY</t>
  </si>
  <si>
    <t>MANNE CHANIKYA</t>
  </si>
  <si>
    <t>MODAK AKSHAY RAJENDRA</t>
  </si>
  <si>
    <t>MONARK BOKADIA</t>
  </si>
  <si>
    <t>PRAKHAR CHATURVEDI</t>
  </si>
  <si>
    <t>ROHAN SUJAL ABRAHAM</t>
  </si>
  <si>
    <t>SAKSHAM CHOUDHARY</t>
  </si>
  <si>
    <t>SHARMA DHRUV TARKESHWAR</t>
  </si>
  <si>
    <t>SHRISTI BIYANI</t>
  </si>
  <si>
    <t>VAIBHAV SHARMA</t>
  </si>
  <si>
    <t>Assignment 2</t>
  </si>
  <si>
    <t>Assignment 3</t>
  </si>
  <si>
    <t>Assignment 4</t>
  </si>
  <si>
    <t>Assignment 5</t>
  </si>
  <si>
    <t>Aniket Gupta</t>
  </si>
  <si>
    <t>Raman</t>
  </si>
  <si>
    <t>Quiz 1(5/1)</t>
  </si>
  <si>
    <t>A</t>
  </si>
  <si>
    <t>Assignment 1 (5)</t>
  </si>
  <si>
    <t>Quiz2(22/2)</t>
  </si>
  <si>
    <t>Assignment 0 (BONUS)</t>
  </si>
  <si>
    <t>Midterm scale</t>
  </si>
  <si>
    <t>quiz 1 scale</t>
  </si>
  <si>
    <t>Quiz 2</t>
  </si>
  <si>
    <t>Grade upto Midterm</t>
  </si>
  <si>
    <t>D</t>
  </si>
  <si>
    <t>B</t>
  </si>
  <si>
    <t>C</t>
  </si>
  <si>
    <t>A-</t>
  </si>
  <si>
    <t>NC</t>
  </si>
  <si>
    <t>B-</t>
  </si>
  <si>
    <t>Total Upto Midterm (38)</t>
  </si>
  <si>
    <t>38-33 A</t>
  </si>
  <si>
    <t>32.9-29 A-</t>
  </si>
  <si>
    <t>28.9-24 B</t>
  </si>
  <si>
    <t>23.9-20 B-</t>
  </si>
  <si>
    <t>20-16 C</t>
  </si>
  <si>
    <t>15.9-13 C-</t>
  </si>
  <si>
    <t>12.9-8 D</t>
  </si>
  <si>
    <t>Stdent Lead Lecture</t>
  </si>
  <si>
    <t>Quiz 3</t>
  </si>
  <si>
    <t>PCT</t>
  </si>
  <si>
    <t>OPEN BOOK (20)</t>
  </si>
  <si>
    <t>CLOSED BOOK (50)</t>
  </si>
  <si>
    <t>END TERM (35)</t>
  </si>
  <si>
    <t>TOTAL MARKS(100)</t>
  </si>
  <si>
    <t xml:space="preserve">Round off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</si>
</sst>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9" fillId="0" borderId="11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wrapText="1"/>
    </xf>
    <xf numFmtId="0" fontId="0" fillId="0" borderId="12" xfId="0" applyBorder="1"/>
    <xf numFmtId="0" fontId="18" fillId="0" borderId="14" xfId="0" applyFont="1" applyBorder="1" applyAlignment="1">
      <alignment wrapText="1"/>
    </xf>
    <xf numFmtId="0" fontId="18" fillId="0" borderId="15" xfId="0" applyFont="1" applyBorder="1" applyAlignment="1">
      <alignment wrapText="1"/>
    </xf>
    <xf numFmtId="0" fontId="0" fillId="0" borderId="16" xfId="0" applyBorder="1"/>
    <xf numFmtId="0" fontId="18" fillId="0" borderId="12" xfId="0" applyFont="1" applyFill="1" applyBorder="1" applyAlignment="1">
      <alignment wrapText="1"/>
    </xf>
    <xf numFmtId="0" fontId="14" fillId="0" borderId="12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"/>
  <sheetViews>
    <sheetView showGridLines="0" workbookViewId="0">
      <selection sqref="A1:Y16"/>
    </sheetView>
  </sheetViews>
  <sheetFormatPr defaultRowHeight="14.5" x14ac:dyDescent="0.35"/>
  <cols>
    <col min="1" max="1" width="5.453125" bestFit="1" customWidth="1"/>
    <col min="2" max="2" width="10.81640625" bestFit="1" customWidth="1"/>
    <col min="3" max="3" width="13" bestFit="1" customWidth="1"/>
    <col min="4" max="4" width="28.08984375" bestFit="1" customWidth="1"/>
    <col min="5" max="5" width="9.7265625" bestFit="1" customWidth="1"/>
    <col min="6" max="6" width="4.81640625" bestFit="1" customWidth="1"/>
    <col min="13" max="13" width="13.26953125" customWidth="1"/>
    <col min="14" max="14" width="11.26953125" customWidth="1"/>
    <col min="15" max="15" width="12.08984375" customWidth="1"/>
    <col min="16" max="16" width="12.90625" customWidth="1"/>
    <col min="17" max="17" width="13.1796875" customWidth="1"/>
    <col min="18" max="18" width="13.54296875" customWidth="1"/>
    <col min="21" max="21" width="11" customWidth="1"/>
    <col min="22" max="22" width="16.7265625" customWidth="1"/>
    <col min="25" max="25" width="12.7265625" customWidth="1"/>
    <col min="26" max="26" width="12.1796875" customWidth="1"/>
  </cols>
  <sheetData>
    <row r="1" spans="1:26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52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54</v>
      </c>
      <c r="N1" s="3" t="s">
        <v>46</v>
      </c>
      <c r="O1" s="3" t="s">
        <v>47</v>
      </c>
      <c r="P1" s="3" t="s">
        <v>48</v>
      </c>
      <c r="Q1" s="3" t="s">
        <v>49</v>
      </c>
      <c r="R1" s="3" t="s">
        <v>32</v>
      </c>
      <c r="S1" s="3" t="s">
        <v>30</v>
      </c>
      <c r="T1" s="3" t="s">
        <v>31</v>
      </c>
      <c r="U1" s="3" t="s">
        <v>56</v>
      </c>
      <c r="V1" s="3" t="s">
        <v>57</v>
      </c>
      <c r="W1" s="3" t="s">
        <v>58</v>
      </c>
      <c r="X1" s="3" t="s">
        <v>59</v>
      </c>
      <c r="Y1" s="3" t="s">
        <v>67</v>
      </c>
      <c r="Z1" s="3" t="s">
        <v>60</v>
      </c>
    </row>
    <row r="2" spans="1:26" x14ac:dyDescent="0.35">
      <c r="A2" s="2" t="s">
        <v>7</v>
      </c>
      <c r="B2" s="2">
        <v>11220240166</v>
      </c>
      <c r="C2" s="2" t="s">
        <v>8</v>
      </c>
      <c r="D2" s="2" t="s">
        <v>33</v>
      </c>
      <c r="E2" s="2" t="s">
        <v>9</v>
      </c>
      <c r="F2" s="2">
        <v>5</v>
      </c>
      <c r="G2" s="4" t="s">
        <v>10</v>
      </c>
      <c r="H2" s="5">
        <v>2</v>
      </c>
      <c r="I2" s="5" t="s">
        <v>53</v>
      </c>
      <c r="J2" s="5"/>
      <c r="K2" s="5"/>
      <c r="L2" s="5"/>
      <c r="M2" s="5">
        <v>0</v>
      </c>
      <c r="N2" s="5">
        <v>0</v>
      </c>
      <c r="O2" s="5"/>
      <c r="P2" s="5"/>
      <c r="Q2" s="5"/>
      <c r="R2" s="5"/>
      <c r="S2" s="5">
        <v>16</v>
      </c>
      <c r="T2" s="5"/>
      <c r="U2" s="5">
        <v>0</v>
      </c>
      <c r="V2">
        <f>S2/2</f>
        <v>8</v>
      </c>
      <c r="W2">
        <f>H2/5</f>
        <v>0.4</v>
      </c>
      <c r="X2">
        <v>0</v>
      </c>
      <c r="Y2">
        <f>X2+W2+V2+N2+M2</f>
        <v>8.4</v>
      </c>
      <c r="Z2" t="s">
        <v>61</v>
      </c>
    </row>
    <row r="3" spans="1:26" x14ac:dyDescent="0.35">
      <c r="A3" s="2" t="s">
        <v>7</v>
      </c>
      <c r="B3" s="2">
        <v>11220240164</v>
      </c>
      <c r="C3" s="2" t="s">
        <v>11</v>
      </c>
      <c r="D3" s="2" t="s">
        <v>34</v>
      </c>
      <c r="E3" s="2" t="s">
        <v>9</v>
      </c>
      <c r="F3" s="2">
        <v>5</v>
      </c>
      <c r="G3" s="4" t="s">
        <v>10</v>
      </c>
      <c r="H3" s="5">
        <v>4</v>
      </c>
      <c r="I3" s="5">
        <v>8</v>
      </c>
      <c r="J3" s="5"/>
      <c r="K3" s="5"/>
      <c r="L3" s="5"/>
      <c r="M3" s="5">
        <v>4</v>
      </c>
      <c r="N3" s="5">
        <v>4</v>
      </c>
      <c r="O3" s="5"/>
      <c r="P3" s="5"/>
      <c r="Q3" s="5"/>
      <c r="R3" s="5"/>
      <c r="S3" s="5">
        <v>36</v>
      </c>
      <c r="T3" s="5"/>
      <c r="U3" s="5">
        <v>1</v>
      </c>
      <c r="V3">
        <f t="shared" ref="V3:V15" si="0">S3/2</f>
        <v>18</v>
      </c>
      <c r="W3">
        <f t="shared" ref="W3:W15" si="1">H3/5</f>
        <v>0.8</v>
      </c>
      <c r="X3">
        <f t="shared" ref="X3:X15" si="2">I3/11</f>
        <v>0.72727272727272729</v>
      </c>
      <c r="Y3">
        <f t="shared" ref="Y3:Y15" si="3">X3+W3+V3+N3+M3</f>
        <v>27.527272727272727</v>
      </c>
      <c r="Z3" t="s">
        <v>62</v>
      </c>
    </row>
    <row r="4" spans="1:26" x14ac:dyDescent="0.35">
      <c r="A4" s="2" t="s">
        <v>7</v>
      </c>
      <c r="B4" s="2">
        <v>11220240172</v>
      </c>
      <c r="C4" s="2" t="s">
        <v>12</v>
      </c>
      <c r="D4" s="2" t="s">
        <v>35</v>
      </c>
      <c r="E4" s="2" t="s">
        <v>9</v>
      </c>
      <c r="F4" s="2">
        <v>5</v>
      </c>
      <c r="G4" s="4" t="s">
        <v>10</v>
      </c>
      <c r="H4" s="10" t="s">
        <v>53</v>
      </c>
      <c r="I4" s="5">
        <v>8</v>
      </c>
      <c r="J4" s="5"/>
      <c r="K4" s="5"/>
      <c r="L4" s="5"/>
      <c r="M4" s="5">
        <v>4</v>
      </c>
      <c r="N4" s="5">
        <v>4</v>
      </c>
      <c r="O4" s="5"/>
      <c r="P4" s="5"/>
      <c r="Q4" s="5"/>
      <c r="R4" s="5"/>
      <c r="S4" s="5">
        <v>37</v>
      </c>
      <c r="T4" s="5"/>
      <c r="U4" s="5">
        <v>1</v>
      </c>
      <c r="V4">
        <f t="shared" si="0"/>
        <v>18.5</v>
      </c>
      <c r="W4">
        <v>0</v>
      </c>
      <c r="X4">
        <f t="shared" si="2"/>
        <v>0.72727272727272729</v>
      </c>
      <c r="Y4">
        <f t="shared" si="3"/>
        <v>27.227272727272727</v>
      </c>
      <c r="Z4" t="s">
        <v>62</v>
      </c>
    </row>
    <row r="5" spans="1:26" x14ac:dyDescent="0.35">
      <c r="A5" s="2" t="s">
        <v>7</v>
      </c>
      <c r="B5" s="2">
        <v>11120220025</v>
      </c>
      <c r="C5" s="2" t="s">
        <v>13</v>
      </c>
      <c r="D5" s="2" t="s">
        <v>36</v>
      </c>
      <c r="E5" s="2" t="s">
        <v>9</v>
      </c>
      <c r="F5" s="2">
        <v>5</v>
      </c>
      <c r="G5" s="4" t="s">
        <v>14</v>
      </c>
      <c r="H5" s="5">
        <v>5</v>
      </c>
      <c r="I5" s="5">
        <v>15</v>
      </c>
      <c r="J5" s="5"/>
      <c r="K5" s="5"/>
      <c r="L5" s="5"/>
      <c r="M5" s="5">
        <v>5</v>
      </c>
      <c r="N5" s="5">
        <v>5</v>
      </c>
      <c r="O5" s="5"/>
      <c r="P5" s="5"/>
      <c r="Q5" s="5"/>
      <c r="R5" s="5"/>
      <c r="S5" s="5">
        <v>45</v>
      </c>
      <c r="T5" s="5"/>
      <c r="U5" s="5">
        <v>0</v>
      </c>
      <c r="V5">
        <f t="shared" si="0"/>
        <v>22.5</v>
      </c>
      <c r="W5">
        <f t="shared" si="1"/>
        <v>1</v>
      </c>
      <c r="X5">
        <f t="shared" si="2"/>
        <v>1.3636363636363635</v>
      </c>
      <c r="Y5">
        <f t="shared" si="3"/>
        <v>34.86363636363636</v>
      </c>
      <c r="Z5" t="s">
        <v>53</v>
      </c>
    </row>
    <row r="6" spans="1:26" x14ac:dyDescent="0.35">
      <c r="A6" s="2" t="s">
        <v>7</v>
      </c>
      <c r="B6" s="2">
        <v>11220240157</v>
      </c>
      <c r="C6" s="2" t="s">
        <v>15</v>
      </c>
      <c r="D6" s="2" t="s">
        <v>37</v>
      </c>
      <c r="E6" s="2" t="s">
        <v>9</v>
      </c>
      <c r="F6" s="2">
        <v>5</v>
      </c>
      <c r="G6" s="4" t="s">
        <v>10</v>
      </c>
      <c r="H6" s="5">
        <v>3</v>
      </c>
      <c r="I6" s="5">
        <v>11</v>
      </c>
      <c r="J6" s="5"/>
      <c r="K6" s="5"/>
      <c r="L6" s="5"/>
      <c r="M6" s="5">
        <v>4</v>
      </c>
      <c r="N6" s="5">
        <v>4</v>
      </c>
      <c r="O6" s="5"/>
      <c r="P6" s="5"/>
      <c r="Q6" s="5"/>
      <c r="R6" s="5"/>
      <c r="S6" s="5">
        <v>15</v>
      </c>
      <c r="T6" s="5"/>
      <c r="U6" s="5">
        <v>0</v>
      </c>
      <c r="V6">
        <f t="shared" si="0"/>
        <v>7.5</v>
      </c>
      <c r="W6">
        <f t="shared" si="1"/>
        <v>0.6</v>
      </c>
      <c r="X6">
        <f t="shared" si="2"/>
        <v>1</v>
      </c>
      <c r="Y6">
        <f t="shared" si="3"/>
        <v>17.100000000000001</v>
      </c>
      <c r="Z6" t="s">
        <v>63</v>
      </c>
    </row>
    <row r="7" spans="1:26" x14ac:dyDescent="0.35">
      <c r="A7" s="2" t="s">
        <v>7</v>
      </c>
      <c r="B7" s="2">
        <v>11220240171</v>
      </c>
      <c r="C7" s="2" t="s">
        <v>16</v>
      </c>
      <c r="D7" s="2" t="s">
        <v>38</v>
      </c>
      <c r="E7" s="2" t="s">
        <v>9</v>
      </c>
      <c r="F7" s="2">
        <v>5</v>
      </c>
      <c r="G7" s="4" t="s">
        <v>10</v>
      </c>
      <c r="H7" s="5">
        <v>5</v>
      </c>
      <c r="I7" s="5">
        <v>13</v>
      </c>
      <c r="J7" s="5"/>
      <c r="K7" s="5"/>
      <c r="L7" s="5"/>
      <c r="M7" s="5">
        <v>5</v>
      </c>
      <c r="N7" s="5">
        <v>5</v>
      </c>
      <c r="O7" s="5"/>
      <c r="P7" s="5"/>
      <c r="Q7" s="5"/>
      <c r="R7" s="5"/>
      <c r="S7" s="5">
        <v>39</v>
      </c>
      <c r="T7" s="5"/>
      <c r="U7" s="5">
        <v>1</v>
      </c>
      <c r="V7">
        <f t="shared" si="0"/>
        <v>19.5</v>
      </c>
      <c r="W7">
        <f t="shared" si="1"/>
        <v>1</v>
      </c>
      <c r="X7">
        <f t="shared" si="2"/>
        <v>1.1818181818181819</v>
      </c>
      <c r="Y7">
        <f t="shared" si="3"/>
        <v>31.68181818181818</v>
      </c>
      <c r="Z7" t="s">
        <v>64</v>
      </c>
    </row>
    <row r="8" spans="1:26" x14ac:dyDescent="0.35">
      <c r="A8" s="2" t="s">
        <v>7</v>
      </c>
      <c r="B8" s="2">
        <v>11120221216</v>
      </c>
      <c r="C8" s="2" t="s">
        <v>17</v>
      </c>
      <c r="D8" s="2" t="s">
        <v>39</v>
      </c>
      <c r="E8" s="2" t="s">
        <v>9</v>
      </c>
      <c r="F8" s="2">
        <v>5</v>
      </c>
      <c r="G8" s="4" t="s">
        <v>14</v>
      </c>
      <c r="H8" s="10" t="s">
        <v>53</v>
      </c>
      <c r="I8" s="5" t="s">
        <v>53</v>
      </c>
      <c r="J8" s="5"/>
      <c r="K8" s="5"/>
      <c r="L8" s="5"/>
      <c r="M8" s="5">
        <v>0</v>
      </c>
      <c r="N8" s="5">
        <v>0</v>
      </c>
      <c r="O8" s="5"/>
      <c r="P8" s="5"/>
      <c r="Q8" s="5"/>
      <c r="R8" s="5"/>
      <c r="S8" s="10" t="s">
        <v>53</v>
      </c>
      <c r="T8" s="5"/>
      <c r="U8" s="5">
        <v>0</v>
      </c>
      <c r="V8">
        <v>0</v>
      </c>
      <c r="W8">
        <v>0</v>
      </c>
      <c r="X8">
        <v>0</v>
      </c>
      <c r="Y8">
        <f t="shared" si="3"/>
        <v>0</v>
      </c>
      <c r="Z8" t="s">
        <v>65</v>
      </c>
    </row>
    <row r="9" spans="1:26" x14ac:dyDescent="0.35">
      <c r="A9" s="2" t="s">
        <v>7</v>
      </c>
      <c r="B9" s="2">
        <v>11220240165</v>
      </c>
      <c r="C9" s="2" t="s">
        <v>18</v>
      </c>
      <c r="D9" s="2" t="s">
        <v>40</v>
      </c>
      <c r="E9" s="2" t="s">
        <v>9</v>
      </c>
      <c r="F9" s="2">
        <v>5</v>
      </c>
      <c r="G9" s="4" t="s">
        <v>10</v>
      </c>
      <c r="H9" s="10" t="s">
        <v>53</v>
      </c>
      <c r="I9" s="5">
        <v>8</v>
      </c>
      <c r="J9" s="5"/>
      <c r="K9" s="5"/>
      <c r="L9" s="5"/>
      <c r="M9" s="5">
        <v>4</v>
      </c>
      <c r="N9" s="5">
        <v>4</v>
      </c>
      <c r="O9" s="5"/>
      <c r="P9" s="5"/>
      <c r="Q9" s="5"/>
      <c r="R9" s="5"/>
      <c r="S9" s="5">
        <v>39</v>
      </c>
      <c r="T9" s="5"/>
      <c r="U9" s="5">
        <v>0</v>
      </c>
      <c r="V9">
        <f t="shared" si="0"/>
        <v>19.5</v>
      </c>
      <c r="W9">
        <v>0</v>
      </c>
      <c r="X9">
        <f t="shared" si="2"/>
        <v>0.72727272727272729</v>
      </c>
      <c r="Y9">
        <f t="shared" si="3"/>
        <v>28.227272727272727</v>
      </c>
      <c r="Z9" t="s">
        <v>64</v>
      </c>
    </row>
    <row r="10" spans="1:26" x14ac:dyDescent="0.35">
      <c r="A10" s="2" t="s">
        <v>7</v>
      </c>
      <c r="B10" s="2">
        <v>11120231287</v>
      </c>
      <c r="C10" s="2" t="s">
        <v>19</v>
      </c>
      <c r="D10" s="2" t="s">
        <v>41</v>
      </c>
      <c r="E10" s="2" t="s">
        <v>9</v>
      </c>
      <c r="F10" s="2">
        <v>5</v>
      </c>
      <c r="G10" s="4" t="s">
        <v>20</v>
      </c>
      <c r="H10" s="5">
        <v>2</v>
      </c>
      <c r="I10" s="5">
        <v>11</v>
      </c>
      <c r="J10" s="5"/>
      <c r="K10" s="5"/>
      <c r="L10" s="5"/>
      <c r="M10" s="5">
        <v>5</v>
      </c>
      <c r="N10" s="5">
        <v>5</v>
      </c>
      <c r="O10" s="5"/>
      <c r="P10" s="5"/>
      <c r="Q10" s="5"/>
      <c r="R10" s="5"/>
      <c r="S10" s="5">
        <v>45</v>
      </c>
      <c r="T10" s="5"/>
      <c r="U10" s="5">
        <v>1</v>
      </c>
      <c r="V10">
        <f t="shared" si="0"/>
        <v>22.5</v>
      </c>
      <c r="W10">
        <f t="shared" si="1"/>
        <v>0.4</v>
      </c>
      <c r="X10">
        <f t="shared" si="2"/>
        <v>1</v>
      </c>
      <c r="Y10">
        <f t="shared" si="3"/>
        <v>33.9</v>
      </c>
      <c r="Z10" t="s">
        <v>53</v>
      </c>
    </row>
    <row r="11" spans="1:26" x14ac:dyDescent="0.35">
      <c r="A11" s="2" t="s">
        <v>7</v>
      </c>
      <c r="B11" s="2">
        <v>11220240167</v>
      </c>
      <c r="C11" s="2" t="s">
        <v>21</v>
      </c>
      <c r="D11" s="2" t="s">
        <v>42</v>
      </c>
      <c r="E11" s="2" t="s">
        <v>9</v>
      </c>
      <c r="F11" s="2">
        <v>5</v>
      </c>
      <c r="G11" s="4" t="s">
        <v>10</v>
      </c>
      <c r="H11" s="10" t="s">
        <v>53</v>
      </c>
      <c r="I11" s="5">
        <v>7</v>
      </c>
      <c r="J11" s="5"/>
      <c r="K11" s="5"/>
      <c r="L11" s="5"/>
      <c r="M11" s="5">
        <v>4</v>
      </c>
      <c r="N11" s="5">
        <v>4</v>
      </c>
      <c r="O11" s="5"/>
      <c r="P11" s="5"/>
      <c r="Q11" s="5"/>
      <c r="R11" s="5"/>
      <c r="S11" s="5">
        <v>36</v>
      </c>
      <c r="T11" s="5"/>
      <c r="U11" s="5">
        <v>0</v>
      </c>
      <c r="V11">
        <f t="shared" si="0"/>
        <v>18</v>
      </c>
      <c r="W11">
        <v>0</v>
      </c>
      <c r="X11">
        <f t="shared" si="2"/>
        <v>0.63636363636363635</v>
      </c>
      <c r="Y11">
        <f t="shared" si="3"/>
        <v>26.636363636363637</v>
      </c>
      <c r="Z11" t="s">
        <v>62</v>
      </c>
    </row>
    <row r="12" spans="1:26" x14ac:dyDescent="0.35">
      <c r="A12" s="2" t="s">
        <v>7</v>
      </c>
      <c r="B12" s="2">
        <v>11220240174</v>
      </c>
      <c r="C12" s="2" t="s">
        <v>22</v>
      </c>
      <c r="D12" s="2" t="s">
        <v>43</v>
      </c>
      <c r="E12" s="2" t="s">
        <v>9</v>
      </c>
      <c r="F12" s="2">
        <v>5</v>
      </c>
      <c r="G12" s="4" t="s">
        <v>10</v>
      </c>
      <c r="H12" s="5">
        <v>0</v>
      </c>
      <c r="I12" s="5">
        <v>13</v>
      </c>
      <c r="J12" s="5"/>
      <c r="K12" s="5"/>
      <c r="L12" s="5"/>
      <c r="M12" s="5">
        <v>4</v>
      </c>
      <c r="N12" s="5">
        <v>0</v>
      </c>
      <c r="O12" s="5"/>
      <c r="P12" s="5"/>
      <c r="Q12" s="5"/>
      <c r="R12" s="5"/>
      <c r="S12" s="5">
        <v>23</v>
      </c>
      <c r="T12" s="5"/>
      <c r="U12" s="5">
        <v>0</v>
      </c>
      <c r="V12">
        <f t="shared" si="0"/>
        <v>11.5</v>
      </c>
      <c r="W12">
        <f t="shared" si="1"/>
        <v>0</v>
      </c>
      <c r="X12">
        <f t="shared" si="2"/>
        <v>1.1818181818181819</v>
      </c>
      <c r="Y12">
        <f t="shared" si="3"/>
        <v>16.68181818181818</v>
      </c>
      <c r="Z12" t="s">
        <v>63</v>
      </c>
    </row>
    <row r="13" spans="1:26" x14ac:dyDescent="0.35">
      <c r="A13" s="2" t="s">
        <v>7</v>
      </c>
      <c r="B13" s="2">
        <v>11220240162</v>
      </c>
      <c r="C13" s="2" t="s">
        <v>23</v>
      </c>
      <c r="D13" s="2" t="s">
        <v>44</v>
      </c>
      <c r="E13" s="2" t="s">
        <v>9</v>
      </c>
      <c r="F13" s="2">
        <v>5</v>
      </c>
      <c r="G13" s="4" t="s">
        <v>10</v>
      </c>
      <c r="H13" s="5">
        <v>3</v>
      </c>
      <c r="I13" s="5">
        <v>10</v>
      </c>
      <c r="J13" s="5"/>
      <c r="K13" s="5"/>
      <c r="L13" s="5"/>
      <c r="M13" s="5">
        <v>4</v>
      </c>
      <c r="N13" s="5">
        <v>4</v>
      </c>
      <c r="O13" s="5"/>
      <c r="P13" s="5"/>
      <c r="Q13" s="5"/>
      <c r="R13" s="5"/>
      <c r="S13" s="5">
        <v>24</v>
      </c>
      <c r="T13" s="5"/>
      <c r="U13" s="5">
        <v>1</v>
      </c>
      <c r="V13">
        <f t="shared" si="0"/>
        <v>12</v>
      </c>
      <c r="W13">
        <f t="shared" si="1"/>
        <v>0.6</v>
      </c>
      <c r="X13">
        <f t="shared" si="2"/>
        <v>0.90909090909090906</v>
      </c>
      <c r="Y13">
        <f t="shared" si="3"/>
        <v>21.509090909090908</v>
      </c>
      <c r="Z13" t="s">
        <v>66</v>
      </c>
    </row>
    <row r="14" spans="1:26" x14ac:dyDescent="0.35">
      <c r="A14" s="2" t="s">
        <v>7</v>
      </c>
      <c r="B14" s="2">
        <v>11220240175</v>
      </c>
      <c r="C14" s="2" t="s">
        <v>24</v>
      </c>
      <c r="D14" s="2" t="s">
        <v>45</v>
      </c>
      <c r="E14" s="2" t="s">
        <v>9</v>
      </c>
      <c r="F14" s="2">
        <v>5</v>
      </c>
      <c r="G14" s="4" t="s">
        <v>10</v>
      </c>
      <c r="H14" s="5">
        <v>2</v>
      </c>
      <c r="I14" s="5">
        <v>10</v>
      </c>
      <c r="J14" s="5"/>
      <c r="K14" s="5"/>
      <c r="L14" s="5"/>
      <c r="M14" s="5">
        <v>4</v>
      </c>
      <c r="N14" s="5">
        <v>0</v>
      </c>
      <c r="O14" s="5"/>
      <c r="P14" s="5"/>
      <c r="Q14" s="5"/>
      <c r="R14" s="5"/>
      <c r="S14" s="5">
        <v>32</v>
      </c>
      <c r="T14" s="5"/>
      <c r="U14" s="5">
        <v>0</v>
      </c>
      <c r="V14">
        <f t="shared" si="0"/>
        <v>16</v>
      </c>
      <c r="W14">
        <f t="shared" si="1"/>
        <v>0.4</v>
      </c>
      <c r="X14">
        <f t="shared" si="2"/>
        <v>0.90909090909090906</v>
      </c>
      <c r="Y14">
        <f t="shared" si="3"/>
        <v>21.309090909090909</v>
      </c>
      <c r="Z14" t="s">
        <v>66</v>
      </c>
    </row>
    <row r="15" spans="1:26" x14ac:dyDescent="0.35">
      <c r="A15" s="6" t="s">
        <v>7</v>
      </c>
      <c r="B15" s="6">
        <v>11220240308</v>
      </c>
      <c r="C15" s="6" t="s">
        <v>25</v>
      </c>
      <c r="D15" s="6" t="s">
        <v>26</v>
      </c>
      <c r="E15" s="6" t="s">
        <v>9</v>
      </c>
      <c r="F15" s="6">
        <v>5</v>
      </c>
      <c r="G15" s="7" t="s">
        <v>10</v>
      </c>
      <c r="H15" s="8">
        <v>5</v>
      </c>
      <c r="I15" s="8">
        <v>10</v>
      </c>
      <c r="J15" s="8"/>
      <c r="K15" s="8"/>
      <c r="L15" s="8"/>
      <c r="M15" s="5">
        <v>5</v>
      </c>
      <c r="N15" s="8">
        <v>4</v>
      </c>
      <c r="O15" s="8"/>
      <c r="P15" s="8"/>
      <c r="Q15" s="8"/>
      <c r="R15" s="8"/>
      <c r="S15" s="8">
        <v>34</v>
      </c>
      <c r="T15" s="8"/>
      <c r="U15" s="8">
        <v>1</v>
      </c>
      <c r="V15">
        <f t="shared" si="0"/>
        <v>17</v>
      </c>
      <c r="W15">
        <f t="shared" si="1"/>
        <v>1</v>
      </c>
      <c r="X15">
        <f t="shared" si="2"/>
        <v>0.90909090909090906</v>
      </c>
      <c r="Y15">
        <f t="shared" si="3"/>
        <v>27.90909090909091</v>
      </c>
      <c r="Z15" t="s">
        <v>62</v>
      </c>
    </row>
    <row r="16" spans="1:26" x14ac:dyDescent="0.35">
      <c r="A16" s="5"/>
      <c r="B16" s="5"/>
      <c r="C16" s="5"/>
      <c r="D16" s="9" t="s">
        <v>50</v>
      </c>
      <c r="E16" s="5"/>
      <c r="F16" s="5"/>
      <c r="G16" s="5"/>
      <c r="H16" s="5">
        <v>4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x14ac:dyDescent="0.35">
      <c r="A17" s="5"/>
      <c r="B17" s="5"/>
      <c r="C17" s="5"/>
      <c r="D17" s="9" t="s">
        <v>51</v>
      </c>
      <c r="E17" s="5"/>
      <c r="F17" s="5"/>
      <c r="G17" s="5"/>
      <c r="H17" s="5">
        <v>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v>20</v>
      </c>
      <c r="T17" s="5"/>
      <c r="U17" s="5"/>
    </row>
    <row r="24" spans="1:21" x14ac:dyDescent="0.35">
      <c r="I24" t="s">
        <v>68</v>
      </c>
    </row>
    <row r="25" spans="1:21" x14ac:dyDescent="0.35">
      <c r="I25" t="s">
        <v>69</v>
      </c>
    </row>
    <row r="26" spans="1:21" x14ac:dyDescent="0.35">
      <c r="I26" t="s">
        <v>70</v>
      </c>
    </row>
    <row r="27" spans="1:21" x14ac:dyDescent="0.35">
      <c r="I27" t="s">
        <v>71</v>
      </c>
    </row>
    <row r="28" spans="1:21" x14ac:dyDescent="0.35">
      <c r="I28" t="s">
        <v>72</v>
      </c>
    </row>
    <row r="29" spans="1:21" x14ac:dyDescent="0.35">
      <c r="I29" t="s">
        <v>73</v>
      </c>
    </row>
    <row r="30" spans="1:21" x14ac:dyDescent="0.35">
      <c r="I30" t="s">
        <v>74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5"/>
  <sheetViews>
    <sheetView tabSelected="1" workbookViewId="0">
      <selection activeCell="AD15" sqref="AD15"/>
    </sheetView>
  </sheetViews>
  <sheetFormatPr defaultRowHeight="14.5" x14ac:dyDescent="0.35"/>
  <cols>
    <col min="2" max="2" width="16.36328125" customWidth="1"/>
    <col min="3" max="3" width="13.6328125" customWidth="1"/>
    <col min="4" max="4" width="14.90625" customWidth="1"/>
    <col min="20" max="20" width="12.36328125" customWidth="1"/>
    <col min="21" max="21" width="11.36328125" customWidth="1"/>
    <col min="22" max="22" width="11.7265625" customWidth="1"/>
    <col min="23" max="23" width="15.36328125" customWidth="1"/>
    <col min="25" max="25" width="15.7265625" customWidth="1"/>
    <col min="29" max="29" width="10.36328125" customWidth="1"/>
  </cols>
  <sheetData>
    <row r="1" spans="1:30" ht="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52</v>
      </c>
      <c r="I1" s="3" t="s">
        <v>55</v>
      </c>
      <c r="J1" s="3" t="s">
        <v>27</v>
      </c>
      <c r="K1" s="3" t="s">
        <v>54</v>
      </c>
      <c r="L1" s="3" t="s">
        <v>46</v>
      </c>
      <c r="M1" s="3" t="s">
        <v>47</v>
      </c>
      <c r="N1" s="3" t="s">
        <v>48</v>
      </c>
      <c r="O1" s="3" t="s">
        <v>75</v>
      </c>
      <c r="P1" s="3" t="s">
        <v>32</v>
      </c>
      <c r="Q1" s="3" t="s">
        <v>30</v>
      </c>
      <c r="R1" s="3" t="s">
        <v>31</v>
      </c>
      <c r="S1" s="3" t="s">
        <v>56</v>
      </c>
      <c r="T1" s="3" t="s">
        <v>57</v>
      </c>
      <c r="U1" s="3" t="s">
        <v>58</v>
      </c>
      <c r="V1" s="3" t="s">
        <v>59</v>
      </c>
      <c r="W1" s="3" t="s">
        <v>67</v>
      </c>
      <c r="X1" s="3" t="s">
        <v>76</v>
      </c>
      <c r="Y1" s="3" t="s">
        <v>77</v>
      </c>
      <c r="Z1" s="3" t="s">
        <v>78</v>
      </c>
      <c r="AA1" s="3" t="s">
        <v>79</v>
      </c>
      <c r="AB1" s="3" t="s">
        <v>80</v>
      </c>
      <c r="AC1" s="3" t="s">
        <v>81</v>
      </c>
      <c r="AD1" s="3" t="s">
        <v>82</v>
      </c>
    </row>
    <row r="2" spans="1:30" ht="26.5" x14ac:dyDescent="0.35">
      <c r="A2" s="2" t="s">
        <v>7</v>
      </c>
      <c r="B2" s="2">
        <v>11220240166</v>
      </c>
      <c r="C2" s="2" t="s">
        <v>8</v>
      </c>
      <c r="D2" s="2" t="s">
        <v>33</v>
      </c>
      <c r="E2" s="2" t="s">
        <v>9</v>
      </c>
      <c r="F2" s="2">
        <v>5</v>
      </c>
      <c r="G2" s="4" t="s">
        <v>10</v>
      </c>
      <c r="H2" s="5">
        <v>2</v>
      </c>
      <c r="I2" s="5" t="s">
        <v>53</v>
      </c>
      <c r="J2" s="5">
        <v>9</v>
      </c>
      <c r="K2" s="5">
        <v>0</v>
      </c>
      <c r="L2" s="5">
        <v>0</v>
      </c>
      <c r="M2" s="5">
        <v>5</v>
      </c>
      <c r="N2" s="5">
        <v>3</v>
      </c>
      <c r="O2" s="5">
        <v>3</v>
      </c>
      <c r="P2" s="5">
        <v>7</v>
      </c>
      <c r="Q2" s="5">
        <v>16</v>
      </c>
      <c r="R2" s="5"/>
      <c r="S2" s="5">
        <v>0</v>
      </c>
      <c r="T2">
        <f>Q2/2</f>
        <v>8</v>
      </c>
      <c r="U2">
        <f>H2/5</f>
        <v>0.4</v>
      </c>
      <c r="V2">
        <v>0</v>
      </c>
      <c r="W2">
        <f t="shared" ref="W2:W14" si="0">V2+U2+T2+L2+K2</f>
        <v>8.4</v>
      </c>
      <c r="X2">
        <f>J2/10</f>
        <v>0.9</v>
      </c>
      <c r="Y2">
        <f>M2+N2+O2+P2+W2+X2</f>
        <v>27.299999999999997</v>
      </c>
      <c r="Z2">
        <v>12</v>
      </c>
      <c r="AA2">
        <v>26</v>
      </c>
      <c r="AB2">
        <f>(Z2+AA2)/2</f>
        <v>19</v>
      </c>
      <c r="AC2">
        <f>AB2+Y2</f>
        <v>46.3</v>
      </c>
      <c r="AD2">
        <v>46</v>
      </c>
    </row>
    <row r="3" spans="1:30" x14ac:dyDescent="0.35">
      <c r="A3" s="2" t="s">
        <v>7</v>
      </c>
      <c r="B3" s="2">
        <v>11220240164</v>
      </c>
      <c r="C3" s="2" t="s">
        <v>11</v>
      </c>
      <c r="D3" s="2" t="s">
        <v>34</v>
      </c>
      <c r="E3" s="2" t="s">
        <v>9</v>
      </c>
      <c r="F3" s="2">
        <v>5</v>
      </c>
      <c r="G3" s="4" t="s">
        <v>10</v>
      </c>
      <c r="H3" s="5">
        <v>4</v>
      </c>
      <c r="I3" s="5">
        <v>8</v>
      </c>
      <c r="J3" s="5">
        <v>10</v>
      </c>
      <c r="K3" s="5">
        <v>4</v>
      </c>
      <c r="L3" s="5">
        <v>4</v>
      </c>
      <c r="M3" s="5">
        <v>4</v>
      </c>
      <c r="N3" s="5">
        <v>3</v>
      </c>
      <c r="O3" s="5">
        <v>3</v>
      </c>
      <c r="P3" s="5">
        <v>7</v>
      </c>
      <c r="Q3" s="5">
        <v>36</v>
      </c>
      <c r="R3" s="5"/>
      <c r="S3" s="5">
        <v>1</v>
      </c>
      <c r="T3">
        <f t="shared" ref="T3:T14" si="1">Q3/2</f>
        <v>18</v>
      </c>
      <c r="U3">
        <f>H3/5</f>
        <v>0.8</v>
      </c>
      <c r="V3">
        <f t="shared" ref="V3:V14" si="2">I3/11</f>
        <v>0.72727272727272729</v>
      </c>
      <c r="W3">
        <f t="shared" si="0"/>
        <v>27.527272727272727</v>
      </c>
      <c r="X3">
        <f t="shared" ref="X3:X14" si="3">J3/10</f>
        <v>1</v>
      </c>
      <c r="Y3">
        <f t="shared" ref="Y3:Y14" si="4">M3+N3+O3+P3+W3+X3</f>
        <v>45.527272727272731</v>
      </c>
      <c r="Z3">
        <v>14</v>
      </c>
      <c r="AA3">
        <v>25</v>
      </c>
      <c r="AB3">
        <f t="shared" ref="AB3:AB14" si="5">(Z3+AA3)/2</f>
        <v>19.5</v>
      </c>
      <c r="AC3">
        <f t="shared" ref="AC3:AD14" si="6">AB3+Y3</f>
        <v>65.027272727272731</v>
      </c>
      <c r="AD3">
        <v>65</v>
      </c>
    </row>
    <row r="4" spans="1:30" ht="26.5" x14ac:dyDescent="0.35">
      <c r="A4" s="2" t="s">
        <v>7</v>
      </c>
      <c r="B4" s="2">
        <v>11220240172</v>
      </c>
      <c r="C4" s="2" t="s">
        <v>12</v>
      </c>
      <c r="D4" s="2" t="s">
        <v>35</v>
      </c>
      <c r="E4" s="2" t="s">
        <v>9</v>
      </c>
      <c r="F4" s="2">
        <v>5</v>
      </c>
      <c r="G4" s="4" t="s">
        <v>10</v>
      </c>
      <c r="H4" s="10" t="s">
        <v>53</v>
      </c>
      <c r="I4" s="5">
        <v>8</v>
      </c>
      <c r="J4" s="5">
        <v>8</v>
      </c>
      <c r="K4" s="5">
        <v>4</v>
      </c>
      <c r="L4" s="5">
        <v>4</v>
      </c>
      <c r="M4" s="5">
        <v>4</v>
      </c>
      <c r="N4" s="5">
        <v>3</v>
      </c>
      <c r="O4" s="5">
        <v>3</v>
      </c>
      <c r="P4" s="5">
        <v>7</v>
      </c>
      <c r="Q4" s="5">
        <v>37</v>
      </c>
      <c r="R4" s="5"/>
      <c r="S4" s="5">
        <v>1</v>
      </c>
      <c r="T4">
        <f t="shared" si="1"/>
        <v>18.5</v>
      </c>
      <c r="U4">
        <v>0</v>
      </c>
      <c r="V4">
        <f t="shared" si="2"/>
        <v>0.72727272727272729</v>
      </c>
      <c r="W4">
        <f t="shared" si="0"/>
        <v>27.227272727272727</v>
      </c>
      <c r="X4">
        <f t="shared" si="3"/>
        <v>0.8</v>
      </c>
      <c r="Y4">
        <f t="shared" si="4"/>
        <v>45.027272727272724</v>
      </c>
      <c r="Z4">
        <v>15</v>
      </c>
      <c r="AA4">
        <v>35</v>
      </c>
      <c r="AB4">
        <f t="shared" si="5"/>
        <v>25</v>
      </c>
      <c r="AC4">
        <f t="shared" si="6"/>
        <v>70.027272727272731</v>
      </c>
      <c r="AD4">
        <v>70</v>
      </c>
    </row>
    <row r="5" spans="1:30" x14ac:dyDescent="0.35">
      <c r="A5" s="2" t="s">
        <v>7</v>
      </c>
      <c r="B5" s="2">
        <v>11120220025</v>
      </c>
      <c r="C5" s="2" t="s">
        <v>13</v>
      </c>
      <c r="D5" s="2" t="s">
        <v>36</v>
      </c>
      <c r="E5" s="2" t="s">
        <v>9</v>
      </c>
      <c r="F5" s="2">
        <v>5</v>
      </c>
      <c r="G5" s="4" t="s">
        <v>14</v>
      </c>
      <c r="H5" s="5">
        <v>5</v>
      </c>
      <c r="I5" s="5">
        <v>15</v>
      </c>
      <c r="J5" s="5" t="s">
        <v>53</v>
      </c>
      <c r="K5" s="5">
        <v>5</v>
      </c>
      <c r="L5" s="5">
        <v>5</v>
      </c>
      <c r="M5" s="5">
        <v>5</v>
      </c>
      <c r="N5" s="5">
        <v>3</v>
      </c>
      <c r="O5" s="5">
        <v>5</v>
      </c>
      <c r="P5" s="5">
        <v>9</v>
      </c>
      <c r="Q5" s="5">
        <v>45</v>
      </c>
      <c r="R5" s="5"/>
      <c r="S5" s="5">
        <v>0</v>
      </c>
      <c r="T5">
        <f t="shared" si="1"/>
        <v>22.5</v>
      </c>
      <c r="U5">
        <f>H5/5</f>
        <v>1</v>
      </c>
      <c r="V5">
        <f t="shared" si="2"/>
        <v>1.3636363636363635</v>
      </c>
      <c r="W5">
        <f t="shared" si="0"/>
        <v>34.86363636363636</v>
      </c>
      <c r="X5">
        <v>0</v>
      </c>
      <c r="Y5">
        <f t="shared" si="4"/>
        <v>56.86363636363636</v>
      </c>
      <c r="Z5">
        <v>15</v>
      </c>
      <c r="AA5">
        <v>37</v>
      </c>
      <c r="AB5">
        <f t="shared" si="5"/>
        <v>26</v>
      </c>
      <c r="AC5">
        <f t="shared" si="6"/>
        <v>82.86363636363636</v>
      </c>
      <c r="AD5">
        <v>83</v>
      </c>
    </row>
    <row r="6" spans="1:30" ht="26.5" x14ac:dyDescent="0.35">
      <c r="A6" s="2" t="s">
        <v>7</v>
      </c>
      <c r="B6" s="2">
        <v>11220240157</v>
      </c>
      <c r="C6" s="2" t="s">
        <v>15</v>
      </c>
      <c r="D6" s="2" t="s">
        <v>37</v>
      </c>
      <c r="E6" s="2" t="s">
        <v>9</v>
      </c>
      <c r="F6" s="2">
        <v>5</v>
      </c>
      <c r="G6" s="4" t="s">
        <v>10</v>
      </c>
      <c r="H6" s="5">
        <v>3</v>
      </c>
      <c r="I6" s="5">
        <v>11</v>
      </c>
      <c r="J6" s="5">
        <v>8</v>
      </c>
      <c r="K6" s="5">
        <v>4</v>
      </c>
      <c r="L6" s="5">
        <v>4</v>
      </c>
      <c r="M6" s="5">
        <v>4</v>
      </c>
      <c r="N6" s="5">
        <v>3</v>
      </c>
      <c r="O6" s="5">
        <v>3</v>
      </c>
      <c r="P6" s="5">
        <v>7</v>
      </c>
      <c r="Q6" s="5">
        <v>15</v>
      </c>
      <c r="R6" s="5"/>
      <c r="S6" s="5">
        <v>0</v>
      </c>
      <c r="T6">
        <f t="shared" si="1"/>
        <v>7.5</v>
      </c>
      <c r="U6">
        <f>H6/5</f>
        <v>0.6</v>
      </c>
      <c r="V6">
        <f t="shared" si="2"/>
        <v>1</v>
      </c>
      <c r="W6">
        <f t="shared" si="0"/>
        <v>17.100000000000001</v>
      </c>
      <c r="X6">
        <f t="shared" si="3"/>
        <v>0.8</v>
      </c>
      <c r="Y6">
        <f t="shared" si="4"/>
        <v>34.9</v>
      </c>
      <c r="Z6">
        <v>6</v>
      </c>
      <c r="AA6">
        <v>10</v>
      </c>
      <c r="AB6">
        <f t="shared" si="5"/>
        <v>8</v>
      </c>
      <c r="AC6">
        <f t="shared" si="6"/>
        <v>42.9</v>
      </c>
      <c r="AD6">
        <v>43</v>
      </c>
    </row>
    <row r="7" spans="1:30" ht="26.5" x14ac:dyDescent="0.35">
      <c r="A7" s="2" t="s">
        <v>7</v>
      </c>
      <c r="B7" s="2">
        <v>11220240171</v>
      </c>
      <c r="C7" s="2" t="s">
        <v>16</v>
      </c>
      <c r="D7" s="2" t="s">
        <v>38</v>
      </c>
      <c r="E7" s="2" t="s">
        <v>9</v>
      </c>
      <c r="F7" s="2">
        <v>5</v>
      </c>
      <c r="G7" s="4" t="s">
        <v>10</v>
      </c>
      <c r="H7" s="5">
        <v>5</v>
      </c>
      <c r="I7" s="5">
        <v>13</v>
      </c>
      <c r="J7" s="5">
        <v>9</v>
      </c>
      <c r="K7" s="5">
        <v>5</v>
      </c>
      <c r="L7" s="5">
        <v>5</v>
      </c>
      <c r="M7" s="5">
        <v>4</v>
      </c>
      <c r="N7" s="5">
        <v>4</v>
      </c>
      <c r="O7" s="5">
        <v>4</v>
      </c>
      <c r="P7" s="5">
        <v>7</v>
      </c>
      <c r="Q7" s="5">
        <v>39</v>
      </c>
      <c r="R7" s="5"/>
      <c r="S7" s="5">
        <v>1</v>
      </c>
      <c r="T7">
        <f t="shared" si="1"/>
        <v>19.5</v>
      </c>
      <c r="U7">
        <f>H7/5</f>
        <v>1</v>
      </c>
      <c r="V7">
        <f t="shared" si="2"/>
        <v>1.1818181818181819</v>
      </c>
      <c r="W7">
        <f t="shared" si="0"/>
        <v>31.68181818181818</v>
      </c>
      <c r="X7">
        <f t="shared" si="3"/>
        <v>0.9</v>
      </c>
      <c r="Y7">
        <f t="shared" si="4"/>
        <v>51.581818181818178</v>
      </c>
      <c r="Z7">
        <v>15</v>
      </c>
      <c r="AA7">
        <v>34</v>
      </c>
      <c r="AB7">
        <f t="shared" si="5"/>
        <v>24.5</v>
      </c>
      <c r="AC7">
        <f t="shared" si="6"/>
        <v>76.081818181818178</v>
      </c>
      <c r="AD7">
        <v>76</v>
      </c>
    </row>
    <row r="8" spans="1:30" ht="26.5" x14ac:dyDescent="0.35">
      <c r="A8" s="2" t="s">
        <v>7</v>
      </c>
      <c r="B8" s="2">
        <v>11220240165</v>
      </c>
      <c r="C8" s="2" t="s">
        <v>18</v>
      </c>
      <c r="D8" s="2" t="s">
        <v>40</v>
      </c>
      <c r="E8" s="2" t="s">
        <v>9</v>
      </c>
      <c r="F8" s="2">
        <v>5</v>
      </c>
      <c r="G8" s="4" t="s">
        <v>10</v>
      </c>
      <c r="H8" s="10" t="s">
        <v>53</v>
      </c>
      <c r="I8" s="5">
        <v>8</v>
      </c>
      <c r="J8" s="5">
        <v>9</v>
      </c>
      <c r="K8" s="5">
        <v>4</v>
      </c>
      <c r="L8" s="5">
        <v>4</v>
      </c>
      <c r="M8" s="5">
        <v>4</v>
      </c>
      <c r="N8" s="5">
        <v>3</v>
      </c>
      <c r="O8" s="5">
        <v>3</v>
      </c>
      <c r="P8" s="5">
        <v>7</v>
      </c>
      <c r="Q8" s="5">
        <v>39</v>
      </c>
      <c r="R8" s="5"/>
      <c r="S8" s="5">
        <v>0</v>
      </c>
      <c r="T8">
        <f t="shared" si="1"/>
        <v>19.5</v>
      </c>
      <c r="U8">
        <v>0</v>
      </c>
      <c r="V8">
        <f t="shared" si="2"/>
        <v>0.72727272727272729</v>
      </c>
      <c r="W8">
        <f t="shared" si="0"/>
        <v>28.227272727272727</v>
      </c>
      <c r="X8">
        <f t="shared" si="3"/>
        <v>0.9</v>
      </c>
      <c r="Y8">
        <f t="shared" si="4"/>
        <v>46.127272727272725</v>
      </c>
      <c r="Z8">
        <v>14</v>
      </c>
      <c r="AA8">
        <v>27</v>
      </c>
      <c r="AB8">
        <f t="shared" si="5"/>
        <v>20.5</v>
      </c>
      <c r="AC8">
        <f t="shared" si="6"/>
        <v>66.627272727272725</v>
      </c>
      <c r="AD8">
        <v>67</v>
      </c>
    </row>
    <row r="9" spans="1:30" ht="26.5" x14ac:dyDescent="0.35">
      <c r="A9" s="2" t="s">
        <v>7</v>
      </c>
      <c r="B9" s="2">
        <v>11120231287</v>
      </c>
      <c r="C9" s="2" t="s">
        <v>19</v>
      </c>
      <c r="D9" s="2" t="s">
        <v>41</v>
      </c>
      <c r="E9" s="2" t="s">
        <v>9</v>
      </c>
      <c r="F9" s="2">
        <v>5</v>
      </c>
      <c r="G9" s="4" t="s">
        <v>20</v>
      </c>
      <c r="H9" s="5">
        <v>2</v>
      </c>
      <c r="I9" s="5">
        <v>11</v>
      </c>
      <c r="J9" s="5">
        <v>13</v>
      </c>
      <c r="K9" s="5">
        <v>5</v>
      </c>
      <c r="L9" s="5">
        <v>5</v>
      </c>
      <c r="M9" s="5">
        <v>5</v>
      </c>
      <c r="N9" s="5">
        <v>4</v>
      </c>
      <c r="O9" s="5">
        <v>3</v>
      </c>
      <c r="P9" s="5">
        <v>9</v>
      </c>
      <c r="Q9" s="5">
        <v>45</v>
      </c>
      <c r="R9" s="5"/>
      <c r="S9" s="5">
        <v>1</v>
      </c>
      <c r="T9">
        <f t="shared" si="1"/>
        <v>22.5</v>
      </c>
      <c r="U9">
        <f>H9/5</f>
        <v>0.4</v>
      </c>
      <c r="V9">
        <f t="shared" si="2"/>
        <v>1</v>
      </c>
      <c r="W9">
        <f t="shared" si="0"/>
        <v>33.9</v>
      </c>
      <c r="X9">
        <f t="shared" si="3"/>
        <v>1.3</v>
      </c>
      <c r="Y9">
        <f t="shared" si="4"/>
        <v>56.199999999999996</v>
      </c>
      <c r="Z9">
        <v>16</v>
      </c>
      <c r="AA9">
        <v>38</v>
      </c>
      <c r="AB9">
        <f t="shared" si="5"/>
        <v>27</v>
      </c>
      <c r="AC9">
        <f t="shared" si="6"/>
        <v>83.199999999999989</v>
      </c>
      <c r="AD9">
        <v>83</v>
      </c>
    </row>
    <row r="10" spans="1:30" ht="26.5" x14ac:dyDescent="0.35">
      <c r="A10" s="2" t="s">
        <v>7</v>
      </c>
      <c r="B10" s="2">
        <v>11220240167</v>
      </c>
      <c r="C10" s="2" t="s">
        <v>21</v>
      </c>
      <c r="D10" s="2" t="s">
        <v>42</v>
      </c>
      <c r="E10" s="2" t="s">
        <v>9</v>
      </c>
      <c r="F10" s="2">
        <v>5</v>
      </c>
      <c r="G10" s="4" t="s">
        <v>10</v>
      </c>
      <c r="H10" s="10" t="s">
        <v>53</v>
      </c>
      <c r="I10" s="5">
        <v>7</v>
      </c>
      <c r="J10" s="5">
        <v>10</v>
      </c>
      <c r="K10" s="5">
        <v>4</v>
      </c>
      <c r="L10" s="5">
        <v>4</v>
      </c>
      <c r="M10" s="5">
        <v>4</v>
      </c>
      <c r="N10" s="5">
        <v>3</v>
      </c>
      <c r="O10" s="5">
        <v>3</v>
      </c>
      <c r="P10" s="5">
        <v>7</v>
      </c>
      <c r="Q10" s="5">
        <v>36</v>
      </c>
      <c r="R10" s="5"/>
      <c r="S10" s="5">
        <v>0</v>
      </c>
      <c r="T10">
        <f t="shared" si="1"/>
        <v>18</v>
      </c>
      <c r="U10">
        <v>0</v>
      </c>
      <c r="V10">
        <f t="shared" si="2"/>
        <v>0.63636363636363635</v>
      </c>
      <c r="W10">
        <f t="shared" si="0"/>
        <v>26.636363636363637</v>
      </c>
      <c r="X10">
        <f t="shared" si="3"/>
        <v>1</v>
      </c>
      <c r="Y10">
        <f t="shared" si="4"/>
        <v>44.63636363636364</v>
      </c>
      <c r="Z10">
        <v>13</v>
      </c>
      <c r="AA10">
        <v>32</v>
      </c>
      <c r="AB10">
        <f t="shared" si="5"/>
        <v>22.5</v>
      </c>
      <c r="AC10">
        <f t="shared" si="6"/>
        <v>67.13636363636364</v>
      </c>
      <c r="AD10">
        <v>67</v>
      </c>
    </row>
    <row r="11" spans="1:30" ht="26.5" x14ac:dyDescent="0.35">
      <c r="A11" s="2" t="s">
        <v>7</v>
      </c>
      <c r="B11" s="2">
        <v>11220240174</v>
      </c>
      <c r="C11" s="2" t="s">
        <v>22</v>
      </c>
      <c r="D11" s="2" t="s">
        <v>43</v>
      </c>
      <c r="E11" s="2" t="s">
        <v>9</v>
      </c>
      <c r="F11" s="2">
        <v>5</v>
      </c>
      <c r="G11" s="4" t="s">
        <v>10</v>
      </c>
      <c r="H11" s="5">
        <v>0</v>
      </c>
      <c r="I11" s="5">
        <v>13</v>
      </c>
      <c r="J11" s="5">
        <v>7</v>
      </c>
      <c r="K11" s="5">
        <v>4</v>
      </c>
      <c r="L11" s="5">
        <v>0</v>
      </c>
      <c r="M11" s="5">
        <v>4</v>
      </c>
      <c r="N11" s="5">
        <v>4</v>
      </c>
      <c r="O11" s="5">
        <v>4</v>
      </c>
      <c r="P11" s="5">
        <v>9</v>
      </c>
      <c r="Q11" s="5">
        <v>23</v>
      </c>
      <c r="R11" s="5"/>
      <c r="S11" s="5">
        <v>0</v>
      </c>
      <c r="T11">
        <f t="shared" si="1"/>
        <v>11.5</v>
      </c>
      <c r="U11">
        <f>H11/5</f>
        <v>0</v>
      </c>
      <c r="V11">
        <f t="shared" si="2"/>
        <v>1.1818181818181819</v>
      </c>
      <c r="W11">
        <f t="shared" si="0"/>
        <v>16.68181818181818</v>
      </c>
      <c r="X11">
        <f t="shared" si="3"/>
        <v>0.7</v>
      </c>
      <c r="Y11">
        <f t="shared" si="4"/>
        <v>38.381818181818183</v>
      </c>
      <c r="Z11">
        <v>14</v>
      </c>
      <c r="AA11">
        <v>29</v>
      </c>
      <c r="AB11">
        <f t="shared" si="5"/>
        <v>21.5</v>
      </c>
      <c r="AC11">
        <f t="shared" si="6"/>
        <v>59.881818181818183</v>
      </c>
      <c r="AD11">
        <v>60</v>
      </c>
    </row>
    <row r="12" spans="1:30" x14ac:dyDescent="0.35">
      <c r="A12" s="2" t="s">
        <v>7</v>
      </c>
      <c r="B12" s="2">
        <v>11220240162</v>
      </c>
      <c r="C12" s="2" t="s">
        <v>23</v>
      </c>
      <c r="D12" s="2" t="s">
        <v>44</v>
      </c>
      <c r="E12" s="2" t="s">
        <v>9</v>
      </c>
      <c r="F12" s="2">
        <v>5</v>
      </c>
      <c r="G12" s="4" t="s">
        <v>10</v>
      </c>
      <c r="H12" s="5">
        <v>3</v>
      </c>
      <c r="I12" s="5">
        <v>10</v>
      </c>
      <c r="J12" s="5">
        <v>11</v>
      </c>
      <c r="K12" s="5">
        <v>4</v>
      </c>
      <c r="L12" s="5">
        <v>4</v>
      </c>
      <c r="M12" s="5">
        <v>5</v>
      </c>
      <c r="N12" s="5">
        <v>4</v>
      </c>
      <c r="O12" s="5">
        <v>4</v>
      </c>
      <c r="P12" s="5">
        <v>7</v>
      </c>
      <c r="Q12" s="5">
        <v>24</v>
      </c>
      <c r="R12" s="5"/>
      <c r="S12" s="5">
        <v>1</v>
      </c>
      <c r="T12">
        <f t="shared" si="1"/>
        <v>12</v>
      </c>
      <c r="U12">
        <f>H12/5</f>
        <v>0.6</v>
      </c>
      <c r="V12">
        <f t="shared" si="2"/>
        <v>0.90909090909090906</v>
      </c>
      <c r="W12">
        <f t="shared" si="0"/>
        <v>21.509090909090908</v>
      </c>
      <c r="X12">
        <f t="shared" si="3"/>
        <v>1.1000000000000001</v>
      </c>
      <c r="Y12">
        <f t="shared" si="4"/>
        <v>42.609090909090909</v>
      </c>
      <c r="Z12">
        <v>14</v>
      </c>
      <c r="AA12">
        <v>35</v>
      </c>
      <c r="AB12">
        <f t="shared" si="5"/>
        <v>24.5</v>
      </c>
      <c r="AC12">
        <f t="shared" si="6"/>
        <v>67.109090909090909</v>
      </c>
      <c r="AD12">
        <v>67</v>
      </c>
    </row>
    <row r="13" spans="1:30" x14ac:dyDescent="0.35">
      <c r="A13" s="2" t="s">
        <v>7</v>
      </c>
      <c r="B13" s="2">
        <v>11220240175</v>
      </c>
      <c r="C13" s="2" t="s">
        <v>24</v>
      </c>
      <c r="D13" s="2" t="s">
        <v>45</v>
      </c>
      <c r="E13" s="2" t="s">
        <v>9</v>
      </c>
      <c r="F13" s="2">
        <v>5</v>
      </c>
      <c r="G13" s="4" t="s">
        <v>10</v>
      </c>
      <c r="H13" s="5">
        <v>2</v>
      </c>
      <c r="I13" s="5">
        <v>10</v>
      </c>
      <c r="J13" s="5">
        <v>8</v>
      </c>
      <c r="K13" s="5">
        <v>4</v>
      </c>
      <c r="L13" s="5">
        <v>0</v>
      </c>
      <c r="M13" s="5">
        <v>4</v>
      </c>
      <c r="N13" s="5">
        <v>4</v>
      </c>
      <c r="O13" s="5">
        <v>3</v>
      </c>
      <c r="P13" s="5">
        <v>9</v>
      </c>
      <c r="Q13" s="5">
        <v>32</v>
      </c>
      <c r="R13" s="5"/>
      <c r="S13" s="5">
        <v>0</v>
      </c>
      <c r="T13">
        <f t="shared" si="1"/>
        <v>16</v>
      </c>
      <c r="U13">
        <f>H13/5</f>
        <v>0.4</v>
      </c>
      <c r="V13">
        <f t="shared" si="2"/>
        <v>0.90909090909090906</v>
      </c>
      <c r="W13">
        <f t="shared" si="0"/>
        <v>21.309090909090909</v>
      </c>
      <c r="X13">
        <f t="shared" si="3"/>
        <v>0.8</v>
      </c>
      <c r="Y13">
        <f t="shared" si="4"/>
        <v>42.109090909090909</v>
      </c>
      <c r="Z13">
        <v>16</v>
      </c>
      <c r="AA13">
        <v>34</v>
      </c>
      <c r="AB13">
        <f t="shared" si="5"/>
        <v>25</v>
      </c>
      <c r="AC13">
        <f t="shared" si="6"/>
        <v>67.109090909090909</v>
      </c>
      <c r="AD13">
        <v>67</v>
      </c>
    </row>
    <row r="14" spans="1:30" ht="26.5" x14ac:dyDescent="0.35">
      <c r="A14" s="6" t="s">
        <v>7</v>
      </c>
      <c r="B14" s="6">
        <v>11220240308</v>
      </c>
      <c r="C14" s="6" t="s">
        <v>25</v>
      </c>
      <c r="D14" s="6" t="s">
        <v>26</v>
      </c>
      <c r="E14" s="6" t="s">
        <v>9</v>
      </c>
      <c r="F14" s="6">
        <v>5</v>
      </c>
      <c r="G14" s="7" t="s">
        <v>10</v>
      </c>
      <c r="H14" s="8">
        <v>5</v>
      </c>
      <c r="I14" s="8">
        <v>10</v>
      </c>
      <c r="J14" s="8">
        <v>7</v>
      </c>
      <c r="K14" s="5">
        <v>5</v>
      </c>
      <c r="L14" s="8">
        <v>4</v>
      </c>
      <c r="M14" s="8">
        <v>5</v>
      </c>
      <c r="N14" s="8">
        <v>4</v>
      </c>
      <c r="O14" s="5">
        <v>3</v>
      </c>
      <c r="P14" s="8">
        <v>7</v>
      </c>
      <c r="Q14" s="8">
        <v>34</v>
      </c>
      <c r="R14" s="8"/>
      <c r="S14" s="8">
        <v>1</v>
      </c>
      <c r="T14">
        <f t="shared" si="1"/>
        <v>17</v>
      </c>
      <c r="U14">
        <f>H14/5</f>
        <v>1</v>
      </c>
      <c r="V14">
        <f t="shared" si="2"/>
        <v>0.90909090909090906</v>
      </c>
      <c r="W14">
        <f t="shared" si="0"/>
        <v>27.90909090909091</v>
      </c>
      <c r="X14">
        <f t="shared" si="3"/>
        <v>0.7</v>
      </c>
      <c r="Y14">
        <f t="shared" si="4"/>
        <v>47.609090909090909</v>
      </c>
      <c r="Z14">
        <v>14</v>
      </c>
      <c r="AA14">
        <v>19</v>
      </c>
      <c r="AB14">
        <f t="shared" si="5"/>
        <v>16.5</v>
      </c>
      <c r="AC14">
        <f t="shared" si="6"/>
        <v>64.109090909090909</v>
      </c>
      <c r="AD14">
        <v>64</v>
      </c>
    </row>
    <row r="15" spans="1:30" x14ac:dyDescent="0.35">
      <c r="A15" s="5"/>
      <c r="B15" s="5"/>
      <c r="C15" s="5"/>
      <c r="D15" s="9" t="s">
        <v>50</v>
      </c>
      <c r="E15" s="5"/>
      <c r="F15" s="5"/>
      <c r="G15" s="5"/>
      <c r="H15" s="5">
        <v>4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 (18)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Mishra</dc:creator>
  <cp:lastModifiedBy>Neeraj Mishra</cp:lastModifiedBy>
  <dcterms:created xsi:type="dcterms:W3CDTF">2025-09-25T04:45:02Z</dcterms:created>
  <dcterms:modified xsi:type="dcterms:W3CDTF">2025-12-08T12:25:46Z</dcterms:modified>
</cp:coreProperties>
</file>